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rco\Desktop\School\SEMESTER 5\WORKSHOP TECHNIQUES\"/>
    </mc:Choice>
  </mc:AlternateContent>
  <xr:revisionPtr revIDLastSave="0" documentId="13_ncr:1_{C1B2CF12-2B48-46A9-B951-6F54B430501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Progress with Graph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5" l="1"/>
  <c r="H27" i="5" s="1"/>
  <c r="F26" i="5"/>
  <c r="I26" i="5" s="1"/>
  <c r="F25" i="5"/>
  <c r="I25" i="5" s="1"/>
  <c r="F20" i="5"/>
  <c r="I20" i="5" s="1"/>
  <c r="F21" i="5"/>
  <c r="I21" i="5" s="1"/>
  <c r="F22" i="5"/>
  <c r="H22" i="5" s="1"/>
  <c r="F23" i="5"/>
  <c r="I23" i="5" s="1"/>
  <c r="F19" i="5"/>
  <c r="I19" i="5" s="1"/>
  <c r="F13" i="5"/>
  <c r="I13" i="5" s="1"/>
  <c r="F14" i="5"/>
  <c r="I14" i="5" s="1"/>
  <c r="F15" i="5"/>
  <c r="I15" i="5" s="1"/>
  <c r="F16" i="5"/>
  <c r="I16" i="5" s="1"/>
  <c r="F17" i="5"/>
  <c r="I17" i="5" s="1"/>
  <c r="F12" i="5"/>
  <c r="I12" i="5" s="1"/>
  <c r="I27" i="5" l="1"/>
  <c r="H26" i="5"/>
  <c r="H23" i="5"/>
  <c r="H21" i="5"/>
  <c r="H17" i="5"/>
  <c r="H14" i="5"/>
  <c r="H25" i="5"/>
  <c r="I22" i="5"/>
  <c r="H20" i="5"/>
  <c r="H13" i="5"/>
  <c r="H12" i="5"/>
  <c r="H19" i="5"/>
  <c r="H15" i="5"/>
  <c r="H16" i="5"/>
</calcChain>
</file>

<file path=xl/sharedStrings.xml><?xml version="1.0" encoding="utf-8"?>
<sst xmlns="http://schemas.openxmlformats.org/spreadsheetml/2006/main" count="43" uniqueCount="43">
  <si>
    <t>Duration</t>
  </si>
  <si>
    <t>Start Date</t>
  </si>
  <si>
    <t>WBS #</t>
  </si>
  <si>
    <t>Task Title</t>
  </si>
  <si>
    <t>Due Date</t>
  </si>
  <si>
    <t>% of Task Complete</t>
  </si>
  <si>
    <t>Days Completed</t>
  </si>
  <si>
    <t>Days Left</t>
  </si>
  <si>
    <t>GANTT CHART</t>
  </si>
  <si>
    <t>Project Title</t>
  </si>
  <si>
    <t>Project Manager</t>
  </si>
  <si>
    <t>Company Name</t>
  </si>
  <si>
    <t>Date</t>
  </si>
  <si>
    <r>
      <t xml:space="preserve">[Enter WBS#]
</t>
    </r>
    <r>
      <rPr>
        <sz val="8"/>
        <color theme="1"/>
        <rFont val="Calibri"/>
        <family val="2"/>
      </rPr>
      <t>↓</t>
    </r>
  </si>
  <si>
    <t>[Change Task Title]
↓</t>
  </si>
  <si>
    <t>[Enter Start Date]
↓</t>
  </si>
  <si>
    <t>[Enter Due Date]
↓</t>
  </si>
  <si>
    <t>[Do not Enter any value Here]
↓</t>
  </si>
  <si>
    <t>[Enter Days Completed]
↓</t>
  </si>
  <si>
    <t>[Do not Enter any values here]
↓</t>
  </si>
  <si>
    <t>[Do not eneter values here]
↓</t>
  </si>
  <si>
    <r>
      <rPr>
        <sz val="8"/>
        <color theme="1"/>
        <rFont val="Calibri"/>
        <family val="2"/>
      </rPr>
      <t>←
←</t>
    </r>
    <r>
      <rPr>
        <sz val="8"/>
        <color theme="1"/>
        <rFont val="Arial Narrow"/>
        <family val="2"/>
      </rPr>
      <t xml:space="preserve">[Hide these 3 Rows)
</t>
    </r>
    <r>
      <rPr>
        <sz val="8"/>
        <color theme="1"/>
        <rFont val="Calibri"/>
        <family val="2"/>
      </rPr>
      <t xml:space="preserve">
←</t>
    </r>
    <r>
      <rPr>
        <sz val="8"/>
        <color theme="1"/>
        <rFont val="Arial Narrow"/>
        <family val="2"/>
      </rPr>
      <t xml:space="preserve">
</t>
    </r>
  </si>
  <si>
    <t xml:space="preserve"> </t>
  </si>
  <si>
    <t>Develop Circuit</t>
  </si>
  <si>
    <t>Read LM317 Datasheet</t>
  </si>
  <si>
    <t>Calculate any necessary values  (power ratings, resistors, etc.) for BOM</t>
  </si>
  <si>
    <t>Make a BOM from LM317 Datasheet</t>
  </si>
  <si>
    <t>Design Circuit Schematic on DipTrace</t>
  </si>
  <si>
    <t>DC Variable Voltage Power Supply</t>
  </si>
  <si>
    <t>Hana Chammas</t>
  </si>
  <si>
    <t>JAC EngTech</t>
  </si>
  <si>
    <t>Fold Box</t>
  </si>
  <si>
    <t>Components</t>
  </si>
  <si>
    <t>Printing and Soldering</t>
  </si>
  <si>
    <t>Extra</t>
  </si>
  <si>
    <t>Design Box Layout</t>
  </si>
  <si>
    <t xml:space="preserve">Create 3D Model </t>
  </si>
  <si>
    <t>Box</t>
  </si>
  <si>
    <t>Ground Case</t>
  </si>
  <si>
    <t>Fit Components</t>
  </si>
  <si>
    <t>Trouble Shooting</t>
  </si>
  <si>
    <t>Manual</t>
  </si>
  <si>
    <t>Sanding and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</si>
</sst>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70C0"/>
      <name val="Arial Narrow"/>
      <family val="2"/>
    </font>
    <font>
      <sz val="26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14993743705557422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3" borderId="0" xfId="0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14" fontId="4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9" fontId="4" fillId="2" borderId="0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9" fontId="4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right"/>
    </xf>
    <xf numFmtId="14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right"/>
    </xf>
    <xf numFmtId="14" fontId="4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9" fontId="4" fillId="3" borderId="3" xfId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4" fontId="4" fillId="3" borderId="4" xfId="0" applyNumberFormat="1" applyFont="1" applyFill="1" applyBorder="1" applyAlignment="1">
      <alignment horizontal="center"/>
    </xf>
    <xf numFmtId="9" fontId="4" fillId="3" borderId="4" xfId="1" applyFont="1" applyFill="1" applyBorder="1" applyAlignment="1">
      <alignment horizontal="center"/>
    </xf>
    <xf numFmtId="9" fontId="4" fillId="3" borderId="2" xfId="1" applyFont="1" applyFill="1" applyBorder="1" applyAlignment="1">
      <alignment horizontal="center"/>
    </xf>
    <xf numFmtId="9" fontId="4" fillId="3" borderId="5" xfId="1" applyFont="1" applyFill="1" applyBorder="1" applyAlignment="1">
      <alignment horizontal="center"/>
    </xf>
    <xf numFmtId="0" fontId="7" fillId="3" borderId="0" xfId="0" applyFont="1" applyFill="1" applyBorder="1"/>
    <xf numFmtId="0" fontId="5" fillId="2" borderId="0" xfId="0" applyNumberFormat="1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center"/>
    </xf>
    <xf numFmtId="0" fontId="8" fillId="3" borderId="0" xfId="0" applyFont="1" applyFill="1" applyBorder="1"/>
    <xf numFmtId="0" fontId="5" fillId="3" borderId="0" xfId="0" applyFont="1" applyFill="1" applyBorder="1"/>
    <xf numFmtId="0" fontId="12" fillId="3" borderId="1" xfId="0" applyFont="1" applyFill="1" applyBorder="1" applyAlignment="1">
      <alignment horizontal="right" wrapText="1"/>
    </xf>
    <xf numFmtId="14" fontId="8" fillId="3" borderId="0" xfId="0" applyNumberFormat="1" applyFont="1" applyFill="1" applyBorder="1"/>
    <xf numFmtId="0" fontId="5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left" vertical="center" wrapText="1"/>
    </xf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6E264"/>
      <color rgb="FFFFFFFF"/>
      <color rgb="FFE19BCD"/>
      <color rgb="FFF2C0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74517244235925E-2"/>
          <c:y val="9.1522021285800795E-2"/>
          <c:w val="0.82794741566395114"/>
          <c:h val="0.82793324419353242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'Progress with Graph'!$D$9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'Progress with Graph'!$C$11:$C$26</c:f>
              <c:strCache>
                <c:ptCount val="16"/>
                <c:pt idx="0">
                  <c:v>Develop Circuit</c:v>
                </c:pt>
                <c:pt idx="1">
                  <c:v>Read LM317 Datasheet</c:v>
                </c:pt>
                <c:pt idx="2">
                  <c:v>Calculate any necessary values  (power ratings, resistors, etc.) for BOM</c:v>
                </c:pt>
                <c:pt idx="3">
                  <c:v>Make a BOM from LM317 Datasheet</c:v>
                </c:pt>
                <c:pt idx="4">
                  <c:v>Design Circuit Schematic on DipTrace</c:v>
                </c:pt>
                <c:pt idx="5">
                  <c:v>Components</c:v>
                </c:pt>
                <c:pt idx="6">
                  <c:v>Printing and Soldering</c:v>
                </c:pt>
                <c:pt idx="7">
                  <c:v>Box</c:v>
                </c:pt>
                <c:pt idx="8">
                  <c:v>Design Box Layout</c:v>
                </c:pt>
                <c:pt idx="9">
                  <c:v>Create 3D Model </c:v>
                </c:pt>
                <c:pt idx="10">
                  <c:v>Fold Box</c:v>
                </c:pt>
                <c:pt idx="11">
                  <c:v>Fit Components</c:v>
                </c:pt>
                <c:pt idx="12">
                  <c:v>Ground Case</c:v>
                </c:pt>
                <c:pt idx="13">
                  <c:v>Extra</c:v>
                </c:pt>
                <c:pt idx="14">
                  <c:v>Sanding and Painting</c:v>
                </c:pt>
                <c:pt idx="15">
                  <c:v>Trouble Shooting</c:v>
                </c:pt>
              </c:strCache>
            </c:strRef>
          </c:cat>
          <c:val>
            <c:numRef>
              <c:f>'Progress with Graph'!$D$11:$D$26</c:f>
              <c:numCache>
                <c:formatCode>m/d/yyyy</c:formatCode>
                <c:ptCount val="16"/>
                <c:pt idx="1">
                  <c:v>44438</c:v>
                </c:pt>
                <c:pt idx="2">
                  <c:v>44440</c:v>
                </c:pt>
                <c:pt idx="3">
                  <c:v>44440</c:v>
                </c:pt>
                <c:pt idx="4">
                  <c:v>44443</c:v>
                </c:pt>
                <c:pt idx="5">
                  <c:v>44443</c:v>
                </c:pt>
                <c:pt idx="6">
                  <c:v>44450</c:v>
                </c:pt>
                <c:pt idx="8">
                  <c:v>44460</c:v>
                </c:pt>
                <c:pt idx="9">
                  <c:v>44467</c:v>
                </c:pt>
                <c:pt idx="10">
                  <c:v>44474</c:v>
                </c:pt>
                <c:pt idx="11">
                  <c:v>44481</c:v>
                </c:pt>
                <c:pt idx="12">
                  <c:v>44481</c:v>
                </c:pt>
                <c:pt idx="14">
                  <c:v>44488</c:v>
                </c:pt>
                <c:pt idx="15">
                  <c:v>44503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8-49D9-9C3D-BB418C64AF3A}"/>
            </c:ext>
          </c:extLst>
        </c:ser>
        <c:ser>
          <c:idx val="1"/>
          <c:order val="1"/>
          <c:tx>
            <c:strRef>
              <c:f>'Progress with Graph'!$G$9</c:f>
              <c:strCache>
                <c:ptCount val="1"/>
                <c:pt idx="0">
                  <c:v>Days 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'Progress with Graph'!$C$11:$C$26</c:f>
              <c:strCache>
                <c:ptCount val="16"/>
                <c:pt idx="0">
                  <c:v>Develop Circuit</c:v>
                </c:pt>
                <c:pt idx="1">
                  <c:v>Read LM317 Datasheet</c:v>
                </c:pt>
                <c:pt idx="2">
                  <c:v>Calculate any necessary values  (power ratings, resistors, etc.) for BOM</c:v>
                </c:pt>
                <c:pt idx="3">
                  <c:v>Make a BOM from LM317 Datasheet</c:v>
                </c:pt>
                <c:pt idx="4">
                  <c:v>Design Circuit Schematic on DipTrace</c:v>
                </c:pt>
                <c:pt idx="5">
                  <c:v>Components</c:v>
                </c:pt>
                <c:pt idx="6">
                  <c:v>Printing and Soldering</c:v>
                </c:pt>
                <c:pt idx="7">
                  <c:v>Box</c:v>
                </c:pt>
                <c:pt idx="8">
                  <c:v>Design Box Layout</c:v>
                </c:pt>
                <c:pt idx="9">
                  <c:v>Create 3D Model </c:v>
                </c:pt>
                <c:pt idx="10">
                  <c:v>Fold Box</c:v>
                </c:pt>
                <c:pt idx="11">
                  <c:v>Fit Components</c:v>
                </c:pt>
                <c:pt idx="12">
                  <c:v>Ground Case</c:v>
                </c:pt>
                <c:pt idx="13">
                  <c:v>Extra</c:v>
                </c:pt>
                <c:pt idx="14">
                  <c:v>Sanding and Painting</c:v>
                </c:pt>
                <c:pt idx="15">
                  <c:v>Trouble Shooting</c:v>
                </c:pt>
              </c:strCache>
            </c:strRef>
          </c:cat>
          <c:val>
            <c:numRef>
              <c:f>'Progress with Graph'!$G$11:$G$26</c:f>
              <c:numCache>
                <c:formatCode>General</c:formatCode>
                <c:ptCount val="16"/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21</c:v>
                </c:pt>
                <c:pt idx="11">
                  <c:v>10</c:v>
                </c:pt>
                <c:pt idx="12">
                  <c:v>10</c:v>
                </c:pt>
                <c:pt idx="14">
                  <c:v>10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8-49D9-9C3D-BB418C64AF3A}"/>
            </c:ext>
          </c:extLst>
        </c:ser>
        <c:ser>
          <c:idx val="2"/>
          <c:order val="2"/>
          <c:tx>
            <c:strRef>
              <c:f>'Progress with Graph'!$H$9</c:f>
              <c:strCache>
                <c:ptCount val="1"/>
                <c:pt idx="0">
                  <c:v>Days Left</c:v>
                </c:pt>
              </c:strCache>
            </c:strRef>
          </c:tx>
          <c:invertIfNegative val="0"/>
          <c:cat>
            <c:strRef>
              <c:f>'Progress with Graph'!$C$11:$C$26</c:f>
              <c:strCache>
                <c:ptCount val="16"/>
                <c:pt idx="0">
                  <c:v>Develop Circuit</c:v>
                </c:pt>
                <c:pt idx="1">
                  <c:v>Read LM317 Datasheet</c:v>
                </c:pt>
                <c:pt idx="2">
                  <c:v>Calculate any necessary values  (power ratings, resistors, etc.) for BOM</c:v>
                </c:pt>
                <c:pt idx="3">
                  <c:v>Make a BOM from LM317 Datasheet</c:v>
                </c:pt>
                <c:pt idx="4">
                  <c:v>Design Circuit Schematic on DipTrace</c:v>
                </c:pt>
                <c:pt idx="5">
                  <c:v>Components</c:v>
                </c:pt>
                <c:pt idx="6">
                  <c:v>Printing and Soldering</c:v>
                </c:pt>
                <c:pt idx="7">
                  <c:v>Box</c:v>
                </c:pt>
                <c:pt idx="8">
                  <c:v>Design Box Layout</c:v>
                </c:pt>
                <c:pt idx="9">
                  <c:v>Create 3D Model </c:v>
                </c:pt>
                <c:pt idx="10">
                  <c:v>Fold Box</c:v>
                </c:pt>
                <c:pt idx="11">
                  <c:v>Fit Components</c:v>
                </c:pt>
                <c:pt idx="12">
                  <c:v>Ground Case</c:v>
                </c:pt>
                <c:pt idx="13">
                  <c:v>Extra</c:v>
                </c:pt>
                <c:pt idx="14">
                  <c:v>Sanding and Painting</c:v>
                </c:pt>
                <c:pt idx="15">
                  <c:v>Trouble Shooting</c:v>
                </c:pt>
              </c:strCache>
            </c:strRef>
          </c:cat>
          <c:val>
            <c:numRef>
              <c:f>'Progress with Graph'!$H$11:$H$26</c:f>
              <c:numCache>
                <c:formatCode>General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-14</c:v>
                </c:pt>
                <c:pt idx="11">
                  <c:v>-3</c:v>
                </c:pt>
                <c:pt idx="12">
                  <c:v>-3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8-49D9-9C3D-BB418C64A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8448296"/>
        <c:axId val="2058444536"/>
        <c:axId val="0"/>
      </c:bar3DChart>
      <c:catAx>
        <c:axId val="2058448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4536"/>
        <c:crosses val="autoZero"/>
        <c:auto val="1"/>
        <c:lblAlgn val="ctr"/>
        <c:lblOffset val="100"/>
        <c:noMultiLvlLbl val="0"/>
      </c:catAx>
      <c:valAx>
        <c:axId val="2058444536"/>
        <c:scaling>
          <c:orientation val="minMax"/>
          <c:max val="44545"/>
          <c:min val="4443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009]d/mmm/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8296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8</xdr:row>
      <xdr:rowOff>19050</xdr:rowOff>
    </xdr:from>
    <xdr:to>
      <xdr:col>29</xdr:col>
      <xdr:colOff>133350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4"/>
  <sheetViews>
    <sheetView tabSelected="1" topLeftCell="B5" zoomScale="70" zoomScaleNormal="70" workbookViewId="0">
      <selection activeCell="G34" sqref="G34"/>
    </sheetView>
  </sheetViews>
  <sheetFormatPr defaultColWidth="8.7890625" defaultRowHeight="14.4" x14ac:dyDescent="0.55000000000000004"/>
  <cols>
    <col min="1" max="1" width="14.5234375" style="1" hidden="1" customWidth="1"/>
    <col min="2" max="2" width="11.68359375" style="1" customWidth="1"/>
    <col min="3" max="3" width="17.1015625" style="1" customWidth="1"/>
    <col min="4" max="5" width="14.47265625" style="1" customWidth="1"/>
    <col min="6" max="6" width="10" style="1" customWidth="1"/>
    <col min="7" max="7" width="14.47265625" style="1" bestFit="1" customWidth="1"/>
    <col min="8" max="8" width="14.3125" style="1" customWidth="1"/>
    <col min="9" max="9" width="18.9453125" style="1" customWidth="1"/>
    <col min="10" max="16384" width="8.7890625" style="1"/>
  </cols>
  <sheetData>
    <row r="1" spans="1:22" ht="32.4" x14ac:dyDescent="1.05">
      <c r="B1" s="27" t="s">
        <v>8</v>
      </c>
      <c r="C1" s="27"/>
      <c r="D1" s="2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5500000000000000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55000000000000004">
      <c r="B3" s="39" t="s">
        <v>9</v>
      </c>
      <c r="C3" s="2"/>
      <c r="D3" s="38" t="s">
        <v>28</v>
      </c>
      <c r="E3" s="38"/>
      <c r="F3" s="2"/>
      <c r="G3" s="2"/>
      <c r="H3" s="2"/>
      <c r="I3" s="39" t="s">
        <v>11</v>
      </c>
      <c r="J3" s="2"/>
      <c r="K3" s="38" t="s">
        <v>30</v>
      </c>
      <c r="L3" s="38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9.5" customHeight="1" x14ac:dyDescent="0.55000000000000004">
      <c r="B4" s="39" t="s">
        <v>10</v>
      </c>
      <c r="C4" s="2"/>
      <c r="D4" s="38" t="s">
        <v>29</v>
      </c>
      <c r="E4" s="38"/>
      <c r="F4" s="2"/>
      <c r="G4" s="2"/>
      <c r="H4" s="2"/>
      <c r="I4" s="39" t="s">
        <v>12</v>
      </c>
      <c r="J4" s="2"/>
      <c r="K4" s="41">
        <v>44462</v>
      </c>
      <c r="L4" s="38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 customHeight="1" x14ac:dyDescent="0.5500000000000000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idden="1" x14ac:dyDescent="0.55000000000000004">
      <c r="A6" s="44" t="s">
        <v>21</v>
      </c>
      <c r="B6" s="43" t="s">
        <v>13</v>
      </c>
      <c r="C6" s="43" t="s">
        <v>14</v>
      </c>
      <c r="D6" s="43" t="s">
        <v>15</v>
      </c>
      <c r="E6" s="43" t="s">
        <v>16</v>
      </c>
      <c r="F6" s="43" t="s">
        <v>17</v>
      </c>
      <c r="G6" s="43" t="s">
        <v>18</v>
      </c>
      <c r="H6" s="43" t="s">
        <v>19</v>
      </c>
      <c r="I6" s="43" t="s">
        <v>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idden="1" x14ac:dyDescent="0.55000000000000004">
      <c r="A7" s="44"/>
      <c r="B7" s="43"/>
      <c r="C7" s="43"/>
      <c r="D7" s="43"/>
      <c r="E7" s="43"/>
      <c r="F7" s="43"/>
      <c r="G7" s="43"/>
      <c r="H7" s="43"/>
      <c r="I7" s="4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30.75" hidden="1" customHeight="1" x14ac:dyDescent="0.55000000000000004">
      <c r="A8" s="44"/>
      <c r="B8" s="43"/>
      <c r="C8" s="43"/>
      <c r="D8" s="43"/>
      <c r="E8" s="43"/>
      <c r="F8" s="43"/>
      <c r="G8" s="43"/>
      <c r="H8" s="43"/>
      <c r="I8" s="4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55000000000000004">
      <c r="B9" s="42" t="s">
        <v>2</v>
      </c>
      <c r="C9" s="42" t="s">
        <v>3</v>
      </c>
      <c r="D9" s="42" t="s">
        <v>1</v>
      </c>
      <c r="E9" s="42" t="s">
        <v>4</v>
      </c>
      <c r="F9" s="42" t="s">
        <v>0</v>
      </c>
      <c r="G9" s="42" t="s">
        <v>6</v>
      </c>
      <c r="H9" s="42" t="s">
        <v>7</v>
      </c>
      <c r="I9" s="42" t="s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55000000000000004">
      <c r="B10" s="42"/>
      <c r="C10" s="42"/>
      <c r="D10" s="42"/>
      <c r="E10" s="42"/>
      <c r="F10" s="42"/>
      <c r="G10" s="42"/>
      <c r="H10" s="42"/>
      <c r="I10" s="42"/>
      <c r="J10" s="2"/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55000000000000004">
      <c r="B11" s="4">
        <v>1</v>
      </c>
      <c r="C11" s="4" t="s">
        <v>23</v>
      </c>
      <c r="D11" s="5"/>
      <c r="E11" s="5"/>
      <c r="F11" s="5"/>
      <c r="G11" s="6"/>
      <c r="H11" s="5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55000000000000004">
      <c r="B12" s="33">
        <v>1.1000000000000001</v>
      </c>
      <c r="C12" s="33" t="s">
        <v>24</v>
      </c>
      <c r="D12" s="19">
        <v>44438</v>
      </c>
      <c r="E12" s="19">
        <v>44440</v>
      </c>
      <c r="F12" s="17">
        <f>DAYS360(D12,E12)</f>
        <v>1</v>
      </c>
      <c r="G12" s="30">
        <v>1</v>
      </c>
      <c r="H12" s="17">
        <f>F12-G12</f>
        <v>0</v>
      </c>
      <c r="I12" s="26">
        <f>(G12/F12)</f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70.8" x14ac:dyDescent="0.55000000000000004">
      <c r="B13" s="34">
        <v>1.2</v>
      </c>
      <c r="C13" s="40" t="s">
        <v>25</v>
      </c>
      <c r="D13" s="11">
        <v>44440</v>
      </c>
      <c r="E13" s="11">
        <v>44443</v>
      </c>
      <c r="F13" s="10">
        <f t="shared" ref="F13:F17" si="0">DAYS360(D13,E13)</f>
        <v>3</v>
      </c>
      <c r="G13" s="31">
        <v>3</v>
      </c>
      <c r="H13" s="10">
        <f t="shared" ref="H13:H17" si="1">F13-G13</f>
        <v>0</v>
      </c>
      <c r="I13" s="12">
        <f>(G13/F13)</f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8.5" x14ac:dyDescent="0.55000000000000004">
      <c r="B14" s="35">
        <v>1.3</v>
      </c>
      <c r="C14" s="40" t="s">
        <v>26</v>
      </c>
      <c r="D14" s="23">
        <v>44440</v>
      </c>
      <c r="E14" s="23">
        <v>44443</v>
      </c>
      <c r="F14" s="22">
        <f t="shared" si="0"/>
        <v>3</v>
      </c>
      <c r="G14" s="32">
        <v>3</v>
      </c>
      <c r="H14" s="22">
        <f t="shared" si="1"/>
        <v>0</v>
      </c>
      <c r="I14" s="24">
        <f t="shared" ref="I14:I17" si="2">(G14/F14)</f>
        <v>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55000000000000004">
      <c r="B15" s="33">
        <v>1.4</v>
      </c>
      <c r="C15" s="33" t="s">
        <v>27</v>
      </c>
      <c r="D15" s="19">
        <v>44443</v>
      </c>
      <c r="E15" s="19">
        <v>44451</v>
      </c>
      <c r="F15" s="17">
        <f t="shared" si="0"/>
        <v>8</v>
      </c>
      <c r="G15" s="29">
        <v>8</v>
      </c>
      <c r="H15" s="22">
        <f t="shared" si="1"/>
        <v>0</v>
      </c>
      <c r="I15" s="21">
        <f t="shared" si="2"/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55000000000000004">
      <c r="B16" s="33">
        <v>1.5</v>
      </c>
      <c r="C16" s="33" t="s">
        <v>32</v>
      </c>
      <c r="D16" s="19">
        <v>44443</v>
      </c>
      <c r="E16" s="19">
        <v>44453</v>
      </c>
      <c r="F16" s="17">
        <f t="shared" si="0"/>
        <v>10</v>
      </c>
      <c r="G16" s="29">
        <v>10</v>
      </c>
      <c r="H16" s="17">
        <f t="shared" si="1"/>
        <v>0</v>
      </c>
      <c r="I16" s="21">
        <f t="shared" si="2"/>
        <v>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x14ac:dyDescent="0.55000000000000004">
      <c r="B17" s="36">
        <v>1.6</v>
      </c>
      <c r="C17" s="36" t="s">
        <v>33</v>
      </c>
      <c r="D17" s="14">
        <v>44450</v>
      </c>
      <c r="E17" s="14">
        <v>44460</v>
      </c>
      <c r="F17" s="15">
        <f t="shared" si="0"/>
        <v>10</v>
      </c>
      <c r="G17" s="37">
        <v>10</v>
      </c>
      <c r="H17" s="15">
        <f t="shared" si="1"/>
        <v>0</v>
      </c>
      <c r="I17" s="25">
        <f t="shared" si="2"/>
        <v>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x14ac:dyDescent="0.55000000000000004">
      <c r="B18" s="28">
        <v>2</v>
      </c>
      <c r="C18" s="4" t="s">
        <v>37</v>
      </c>
      <c r="D18" s="7"/>
      <c r="E18" s="7"/>
      <c r="F18" s="6"/>
      <c r="G18" s="8"/>
      <c r="H18" s="5"/>
      <c r="I18" s="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x14ac:dyDescent="0.55000000000000004">
      <c r="B19" s="18">
        <v>2.1</v>
      </c>
      <c r="C19" s="18" t="s">
        <v>35</v>
      </c>
      <c r="D19" s="19">
        <v>44460</v>
      </c>
      <c r="E19" s="19">
        <v>44467</v>
      </c>
      <c r="F19" s="17">
        <f>DAYS360(D19,E19)</f>
        <v>7</v>
      </c>
      <c r="G19" s="20">
        <v>7</v>
      </c>
      <c r="H19" s="17">
        <f>F19-G19</f>
        <v>0</v>
      </c>
      <c r="I19" s="21">
        <f>(G19/F19)</f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x14ac:dyDescent="0.55000000000000004">
      <c r="B20" s="13">
        <v>2.2000000000000002</v>
      </c>
      <c r="C20" s="13" t="s">
        <v>36</v>
      </c>
      <c r="D20" s="14">
        <v>44467</v>
      </c>
      <c r="E20" s="14">
        <v>44474</v>
      </c>
      <c r="F20" s="17">
        <f t="shared" ref="F20:F23" si="3">DAYS360(D20,E20)</f>
        <v>7</v>
      </c>
      <c r="G20" s="16">
        <v>7</v>
      </c>
      <c r="H20" s="15">
        <f t="shared" ref="H20:H23" si="4">F20-G20</f>
        <v>0</v>
      </c>
      <c r="I20" s="21">
        <f t="shared" ref="I20:I23" si="5">(G20/F20)</f>
        <v>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x14ac:dyDescent="0.55000000000000004">
      <c r="B21" s="13">
        <v>2.2999999999999998</v>
      </c>
      <c r="C21" s="13" t="s">
        <v>31</v>
      </c>
      <c r="D21" s="14">
        <v>44474</v>
      </c>
      <c r="E21" s="14">
        <v>44481</v>
      </c>
      <c r="F21" s="17">
        <f t="shared" si="3"/>
        <v>7</v>
      </c>
      <c r="G21" s="16">
        <v>21</v>
      </c>
      <c r="H21" s="15">
        <f t="shared" si="4"/>
        <v>-14</v>
      </c>
      <c r="I21" s="21">
        <f t="shared" si="5"/>
        <v>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x14ac:dyDescent="0.55000000000000004">
      <c r="B22" s="13">
        <v>2.4</v>
      </c>
      <c r="C22" s="13" t="s">
        <v>39</v>
      </c>
      <c r="D22" s="14">
        <v>44481</v>
      </c>
      <c r="E22" s="14">
        <v>44488</v>
      </c>
      <c r="F22" s="17">
        <f t="shared" si="3"/>
        <v>7</v>
      </c>
      <c r="G22" s="16">
        <v>10</v>
      </c>
      <c r="H22" s="15">
        <f t="shared" si="4"/>
        <v>-3</v>
      </c>
      <c r="I22" s="21">
        <f t="shared" si="5"/>
        <v>1.4285714285714286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x14ac:dyDescent="0.55000000000000004">
      <c r="B23" s="13">
        <v>2.5</v>
      </c>
      <c r="C23" s="13" t="s">
        <v>38</v>
      </c>
      <c r="D23" s="14">
        <v>44481</v>
      </c>
      <c r="E23" s="14">
        <v>44488</v>
      </c>
      <c r="F23" s="17">
        <f t="shared" si="3"/>
        <v>7</v>
      </c>
      <c r="G23" s="16">
        <v>10</v>
      </c>
      <c r="H23" s="15">
        <f t="shared" si="4"/>
        <v>-3</v>
      </c>
      <c r="I23" s="21">
        <f t="shared" si="5"/>
        <v>1.4285714285714286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x14ac:dyDescent="0.55000000000000004">
      <c r="B24" s="28">
        <v>3</v>
      </c>
      <c r="C24" s="4" t="s">
        <v>34</v>
      </c>
      <c r="D24" s="7"/>
      <c r="E24" s="7"/>
      <c r="F24" s="6"/>
      <c r="G24" s="8"/>
      <c r="H24" s="5"/>
      <c r="I24" s="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x14ac:dyDescent="0.55000000000000004">
      <c r="B25" s="18">
        <v>3.1</v>
      </c>
      <c r="C25" s="18" t="s">
        <v>42</v>
      </c>
      <c r="D25" s="19">
        <v>44488</v>
      </c>
      <c r="E25" s="19">
        <v>44503</v>
      </c>
      <c r="F25" s="17">
        <f>DAYS360(D25,E25)</f>
        <v>14</v>
      </c>
      <c r="G25" s="20">
        <v>10</v>
      </c>
      <c r="H25" s="17">
        <f>F25-G25</f>
        <v>4</v>
      </c>
      <c r="I25" s="25">
        <f>(G25/F25)</f>
        <v>0.7142857142857143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x14ac:dyDescent="0.55000000000000004">
      <c r="B26" s="13">
        <v>3.2</v>
      </c>
      <c r="C26" s="18" t="s">
        <v>40</v>
      </c>
      <c r="D26" s="14">
        <v>44503</v>
      </c>
      <c r="E26" s="14">
        <v>44524</v>
      </c>
      <c r="F26" s="17">
        <f>DAYS360(D26,E26)</f>
        <v>21</v>
      </c>
      <c r="G26" s="16">
        <v>21</v>
      </c>
      <c r="H26" s="15">
        <f t="shared" ref="H26" si="6">F26-G26</f>
        <v>0</v>
      </c>
      <c r="I26" s="25">
        <f t="shared" ref="I26" si="7">(G26/F26)</f>
        <v>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x14ac:dyDescent="0.55000000000000004">
      <c r="B27" s="13">
        <v>3.2</v>
      </c>
      <c r="C27" s="18" t="s">
        <v>41</v>
      </c>
      <c r="D27" s="14">
        <v>44524</v>
      </c>
      <c r="E27" s="14">
        <v>44545</v>
      </c>
      <c r="F27" s="17">
        <f>DAYS360(D27,E27)</f>
        <v>21</v>
      </c>
      <c r="G27" s="16">
        <v>19</v>
      </c>
      <c r="H27" s="15">
        <f>F27-G27</f>
        <v>2</v>
      </c>
      <c r="I27" s="25">
        <f>(G27/F27)</f>
        <v>0.90476190476190477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x14ac:dyDescent="0.5500000000000000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5500000000000000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x14ac:dyDescent="0.55000000000000004">
      <c r="B30" s="2"/>
      <c r="C30" s="2"/>
      <c r="D30" s="2"/>
      <c r="E30" s="2"/>
      <c r="F30" s="2"/>
      <c r="G30" s="2"/>
      <c r="H30" s="2"/>
      <c r="I30" s="2" t="s">
        <v>22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x14ac:dyDescent="0.5500000000000000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x14ac:dyDescent="0.5500000000000000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x14ac:dyDescent="0.5500000000000000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x14ac:dyDescent="0.5500000000000000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x14ac:dyDescent="0.5500000000000000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2:22" x14ac:dyDescent="0.5500000000000000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2:22" x14ac:dyDescent="0.5500000000000000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x14ac:dyDescent="0.5500000000000000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x14ac:dyDescent="0.5500000000000000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x14ac:dyDescent="0.5500000000000000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2:22" x14ac:dyDescent="0.5500000000000000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x14ac:dyDescent="0.55000000000000004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x14ac:dyDescent="0.55000000000000004"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x14ac:dyDescent="0.55000000000000004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</sheetData>
  <mergeCells count="17">
    <mergeCell ref="A6:A8"/>
    <mergeCell ref="I9:I10"/>
    <mergeCell ref="C9:C10"/>
    <mergeCell ref="B9:B10"/>
    <mergeCell ref="B6:B8"/>
    <mergeCell ref="C6:C8"/>
    <mergeCell ref="D6:D8"/>
    <mergeCell ref="E6:E8"/>
    <mergeCell ref="F6:F8"/>
    <mergeCell ref="G6:G8"/>
    <mergeCell ref="H6:H8"/>
    <mergeCell ref="I6:I8"/>
    <mergeCell ref="D9:D10"/>
    <mergeCell ref="E9:E10"/>
    <mergeCell ref="F9:F10"/>
    <mergeCell ref="G9:G10"/>
    <mergeCell ref="H9:H10"/>
  </mergeCells>
  <conditionalFormatting sqref="I26">
    <cfRule type="colorScale" priority="1">
      <colorScale>
        <cfvo type="min"/>
        <cfvo type="max"/>
        <color rgb="FFFFFFFF"/>
        <color rgb="FF46E264"/>
      </colorScale>
    </cfRule>
  </conditionalFormatting>
  <conditionalFormatting sqref="I12:I17 I19:I23">
    <cfRule type="colorScale" priority="8">
      <colorScale>
        <cfvo type="min"/>
        <cfvo type="max"/>
        <color rgb="FFFFFFFF"/>
        <color rgb="FF46E264"/>
      </colorScale>
    </cfRule>
  </conditionalFormatting>
  <conditionalFormatting sqref="I12:I17 I27 I19:I23 I25">
    <cfRule type="colorScale" priority="10">
      <colorScale>
        <cfvo type="min"/>
        <cfvo type="max"/>
        <color rgb="FFFFFFFF"/>
        <color rgb="FF46E264"/>
      </colorScale>
    </cfRule>
  </conditionalFormatting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with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hanachammas</dc:creator>
  <cp:lastModifiedBy>Marco Rosales</cp:lastModifiedBy>
  <dcterms:created xsi:type="dcterms:W3CDTF">2016-09-17T21:21:54Z</dcterms:created>
  <dcterms:modified xsi:type="dcterms:W3CDTF">2021-11-08T17:33:26Z</dcterms:modified>
</cp:coreProperties>
</file>